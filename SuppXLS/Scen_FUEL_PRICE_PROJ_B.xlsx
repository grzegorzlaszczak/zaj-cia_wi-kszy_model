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odel\SuppXLS\"/>
    </mc:Choice>
  </mc:AlternateContent>
  <xr:revisionPtr revIDLastSave="0" documentId="13_ncr:1_{217E31C6-058D-4137-A1E6-8FEC532D3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I36" i="2" l="1"/>
  <c r="I37" i="2"/>
  <c r="I38" i="2"/>
  <c r="I39" i="2"/>
  <c r="I40" i="2"/>
  <c r="I35" i="2"/>
  <c r="I33" i="2"/>
  <c r="I22" i="2"/>
  <c r="I23" i="2"/>
  <c r="I24" i="2"/>
  <c r="I25" i="2"/>
  <c r="I26" i="2"/>
  <c r="I21" i="2"/>
  <c r="I15" i="2"/>
  <c r="I16" i="2"/>
  <c r="I17" i="2"/>
  <c r="I18" i="2"/>
  <c r="I19" i="2"/>
  <c r="I14" i="2"/>
  <c r="I8" i="2"/>
  <c r="I9" i="2"/>
  <c r="I10" i="2"/>
  <c r="I11" i="2"/>
  <c r="I12" i="2"/>
  <c r="I7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  <c r="I29" i="2"/>
  <c r="I30" i="2"/>
  <c r="I31" i="2"/>
  <c r="I32" i="2"/>
  <c r="I2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<sst xmlns="http://schemas.openxmlformats.org/spreadsheetml/2006/main" count="88" uniqueCount="25">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</sst>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R28" sqref="R28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v>14.742000000000001</v>
      </c>
      <c r="F7" s="5" t="s">
        <v>15</v>
      </c>
      <c r="G7" s="5" t="s">
        <v>16</v>
      </c>
      <c r="I7">
        <f>E7*1.3</f>
        <v>19.1646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v>15.301</v>
      </c>
      <c r="F8" s="7" t="str">
        <f>F7</f>
        <v>MIN_HC</v>
      </c>
      <c r="G8" s="7" t="str">
        <f>G7</f>
        <v>HC</v>
      </c>
      <c r="I8">
        <f t="shared" ref="I8:I12" si="0">E8*1.3</f>
        <v>19.891300000000001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6">
        <v>15.301</v>
      </c>
      <c r="F9" s="5" t="str">
        <f t="shared" ref="F9:F12" si="1">F8</f>
        <v>MIN_HC</v>
      </c>
      <c r="G9" s="5" t="str">
        <f t="shared" ref="G9:G12" si="2">G8</f>
        <v>HC</v>
      </c>
      <c r="I9">
        <f t="shared" si="0"/>
        <v>19.891300000000001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v>15.301</v>
      </c>
      <c r="F10" s="7" t="str">
        <f t="shared" si="1"/>
        <v>MIN_HC</v>
      </c>
      <c r="G10" s="7" t="str">
        <f t="shared" si="2"/>
        <v>HC</v>
      </c>
      <c r="I10">
        <f t="shared" si="0"/>
        <v>19.891300000000001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6">
        <v>15.301</v>
      </c>
      <c r="F11" s="5" t="str">
        <f t="shared" si="1"/>
        <v>MIN_HC</v>
      </c>
      <c r="G11" s="5" t="str">
        <f t="shared" si="2"/>
        <v>HC</v>
      </c>
      <c r="I11">
        <f t="shared" si="0"/>
        <v>19.891300000000001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v>15.301</v>
      </c>
      <c r="F12" s="7" t="str">
        <f t="shared" si="1"/>
        <v>MIN_HC</v>
      </c>
      <c r="G12" s="7" t="str">
        <f t="shared" si="2"/>
        <v>HC</v>
      </c>
      <c r="I12">
        <f t="shared" si="0"/>
        <v>19.891300000000001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7.2119999999999997</v>
      </c>
      <c r="F14" s="5" t="s">
        <v>17</v>
      </c>
      <c r="G14" s="5" t="s">
        <v>18</v>
      </c>
      <c r="I14">
        <f>E14*1.2</f>
        <v>8.654399999999999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7.1159999999999997</v>
      </c>
      <c r="F15" s="7" t="str">
        <f>F14</f>
        <v>MIN_BC</v>
      </c>
      <c r="G15" s="7" t="str">
        <f>G14</f>
        <v>BC</v>
      </c>
      <c r="I15">
        <f t="shared" ref="I15:I19" si="3">E15*1.2</f>
        <v>8.5391999999999992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7.032</v>
      </c>
      <c r="F16" s="5" t="str">
        <f t="shared" ref="F16:F19" si="4">F15</f>
        <v>MIN_BC</v>
      </c>
      <c r="G16" s="5" t="str">
        <f t="shared" ref="G16:G19" si="5">G15</f>
        <v>BC</v>
      </c>
      <c r="I16">
        <f t="shared" si="3"/>
        <v>8.4383999999999997</v>
      </c>
    </row>
    <row r="17" spans="2:9" ht="15.75" customHeight="1" x14ac:dyDescent="0.25">
      <c r="B17" s="7" t="s">
        <v>7</v>
      </c>
      <c r="C17" s="18" t="s">
        <v>8</v>
      </c>
      <c r="D17" s="7">
        <v>2040</v>
      </c>
      <c r="E17" s="8">
        <v>6.9239999999999995</v>
      </c>
      <c r="F17" s="7" t="str">
        <f t="shared" si="4"/>
        <v>MIN_BC</v>
      </c>
      <c r="G17" s="7" t="str">
        <f t="shared" si="5"/>
        <v>BC</v>
      </c>
      <c r="I17">
        <f t="shared" si="3"/>
        <v>8.3087999999999997</v>
      </c>
    </row>
    <row r="18" spans="2:9" ht="15.75" customHeight="1" x14ac:dyDescent="0.25">
      <c r="B18" s="5" t="s">
        <v>7</v>
      </c>
      <c r="C18" s="17" t="s">
        <v>8</v>
      </c>
      <c r="D18" s="5">
        <v>2045</v>
      </c>
      <c r="E18" s="6">
        <v>6.8159999999999998</v>
      </c>
      <c r="F18" s="5" t="str">
        <f t="shared" si="4"/>
        <v>MIN_BC</v>
      </c>
      <c r="G18" s="5" t="str">
        <f t="shared" si="5"/>
        <v>BC</v>
      </c>
      <c r="I18">
        <f t="shared" si="3"/>
        <v>8.1791999999999998</v>
      </c>
    </row>
    <row r="19" spans="2:9" ht="15.75" customHeight="1" x14ac:dyDescent="0.25">
      <c r="B19" s="7" t="s">
        <v>7</v>
      </c>
      <c r="C19" s="18" t="s">
        <v>8</v>
      </c>
      <c r="D19" s="7">
        <v>2050</v>
      </c>
      <c r="E19" s="8">
        <v>6.72</v>
      </c>
      <c r="F19" s="7" t="str">
        <f t="shared" si="4"/>
        <v>MIN_BC</v>
      </c>
      <c r="G19" s="7" t="str">
        <f t="shared" si="5"/>
        <v>BC</v>
      </c>
      <c r="I19">
        <f t="shared" si="3"/>
        <v>8.0640000000000001</v>
      </c>
    </row>
    <row r="20" spans="2:9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9" ht="15.75" customHeight="1" x14ac:dyDescent="0.25">
      <c r="B21" s="5" t="s">
        <v>7</v>
      </c>
      <c r="C21" s="17" t="s">
        <v>8</v>
      </c>
      <c r="D21" s="5">
        <v>2025</v>
      </c>
      <c r="E21" s="6">
        <v>45.12</v>
      </c>
      <c r="F21" s="5" t="s">
        <v>19</v>
      </c>
      <c r="G21" s="5" t="s">
        <v>20</v>
      </c>
      <c r="I21">
        <f>E21*1.5</f>
        <v>67.679999999999993</v>
      </c>
    </row>
    <row r="22" spans="2:9" ht="15.75" customHeight="1" x14ac:dyDescent="0.25">
      <c r="B22" s="7" t="s">
        <v>7</v>
      </c>
      <c r="C22" s="18" t="s">
        <v>8</v>
      </c>
      <c r="D22" s="7">
        <v>2030</v>
      </c>
      <c r="E22" s="8">
        <v>49.71</v>
      </c>
      <c r="F22" s="7" t="str">
        <f>F21</f>
        <v>MIN_NAT-GAS</v>
      </c>
      <c r="G22" s="7" t="str">
        <f>G21</f>
        <v>NAT-GAS</v>
      </c>
      <c r="I22">
        <f t="shared" ref="I22:I26" si="6">E22*1.5</f>
        <v>74.564999999999998</v>
      </c>
    </row>
    <row r="23" spans="2:9" ht="15.75" customHeight="1" x14ac:dyDescent="0.25">
      <c r="B23" s="5" t="s">
        <v>7</v>
      </c>
      <c r="C23" s="17" t="s">
        <v>8</v>
      </c>
      <c r="D23" s="5">
        <v>2035</v>
      </c>
      <c r="E23" s="6">
        <v>52.320000000000007</v>
      </c>
      <c r="F23" s="5" t="str">
        <f t="shared" ref="F23:F26" si="7">F22</f>
        <v>MIN_NAT-GAS</v>
      </c>
      <c r="G23" s="5" t="str">
        <f t="shared" ref="G23:G26" si="8">G22</f>
        <v>NAT-GAS</v>
      </c>
      <c r="I23">
        <f t="shared" si="6"/>
        <v>78.480000000000018</v>
      </c>
    </row>
    <row r="24" spans="2:9" ht="15.75" customHeight="1" x14ac:dyDescent="0.25">
      <c r="B24" s="7" t="s">
        <v>7</v>
      </c>
      <c r="C24" s="18" t="s">
        <v>8</v>
      </c>
      <c r="D24" s="7">
        <v>2040</v>
      </c>
      <c r="E24" s="8">
        <v>54.929999999999993</v>
      </c>
      <c r="F24" s="7" t="str">
        <f t="shared" si="7"/>
        <v>MIN_NAT-GAS</v>
      </c>
      <c r="G24" s="7" t="str">
        <f t="shared" si="8"/>
        <v>NAT-GAS</v>
      </c>
      <c r="I24">
        <f t="shared" si="6"/>
        <v>82.394999999999982</v>
      </c>
    </row>
    <row r="25" spans="2:9" ht="15.75" customHeight="1" x14ac:dyDescent="0.25">
      <c r="B25" s="5" t="s">
        <v>7</v>
      </c>
      <c r="C25" s="17" t="s">
        <v>8</v>
      </c>
      <c r="D25" s="5">
        <v>2045</v>
      </c>
      <c r="E25" s="6">
        <v>58.53</v>
      </c>
      <c r="F25" s="5" t="str">
        <f t="shared" si="7"/>
        <v>MIN_NAT-GAS</v>
      </c>
      <c r="G25" s="5" t="str">
        <f t="shared" si="8"/>
        <v>NAT-GAS</v>
      </c>
      <c r="I25">
        <f t="shared" si="6"/>
        <v>87.795000000000002</v>
      </c>
    </row>
    <row r="26" spans="2:9" ht="15.75" customHeight="1" x14ac:dyDescent="0.25">
      <c r="B26" s="7" t="s">
        <v>7</v>
      </c>
      <c r="C26" s="18" t="s">
        <v>8</v>
      </c>
      <c r="D26" s="7">
        <v>2050</v>
      </c>
      <c r="E26" s="8">
        <v>61.739999999999995</v>
      </c>
      <c r="F26" s="7" t="str">
        <f t="shared" si="7"/>
        <v>MIN_NAT-GAS</v>
      </c>
      <c r="G26" s="7" t="str">
        <f t="shared" si="8"/>
        <v>NAT-GAS</v>
      </c>
      <c r="I26">
        <f t="shared" si="6"/>
        <v>92.609999999999985</v>
      </c>
    </row>
    <row r="27" spans="2:9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9" ht="15.75" customHeight="1" x14ac:dyDescent="0.25">
      <c r="B28" s="5" t="s">
        <v>7</v>
      </c>
      <c r="C28" s="5" t="s">
        <v>8</v>
      </c>
      <c r="D28" s="5">
        <v>2025</v>
      </c>
      <c r="E28" s="6">
        <v>79.411200000000008</v>
      </c>
      <c r="F28" s="5" t="s">
        <v>21</v>
      </c>
      <c r="G28" s="5" t="s">
        <v>20</v>
      </c>
      <c r="I28">
        <f>E28*1.6</f>
        <v>127.05792000000002</v>
      </c>
    </row>
    <row r="29" spans="2:9" ht="15.75" customHeight="1" x14ac:dyDescent="0.25">
      <c r="B29" s="7" t="s">
        <v>7</v>
      </c>
      <c r="C29" s="7" t="s">
        <v>8</v>
      </c>
      <c r="D29" s="7">
        <v>2030</v>
      </c>
      <c r="E29" s="8">
        <v>87.48960000000001</v>
      </c>
      <c r="F29" s="7" t="str">
        <f>F28</f>
        <v>IMP_NAT-GAS</v>
      </c>
      <c r="G29" s="7" t="str">
        <f>G28</f>
        <v>NAT-GAS</v>
      </c>
      <c r="I29">
        <f t="shared" ref="I29:I33" si="9">E29*1.6</f>
        <v>139.98336000000003</v>
      </c>
    </row>
    <row r="30" spans="2:9" ht="15.75" customHeight="1" x14ac:dyDescent="0.25">
      <c r="B30" s="5" t="s">
        <v>7</v>
      </c>
      <c r="C30" s="5" t="s">
        <v>8</v>
      </c>
      <c r="D30" s="5">
        <v>2035</v>
      </c>
      <c r="E30" s="6">
        <v>92.083200000000033</v>
      </c>
      <c r="F30" s="5" t="str">
        <f t="shared" ref="F30:F33" si="10">F29</f>
        <v>IMP_NAT-GAS</v>
      </c>
      <c r="G30" s="5" t="str">
        <f t="shared" ref="G30:G33" si="11">G29</f>
        <v>NAT-GAS</v>
      </c>
      <c r="I30">
        <f t="shared" si="9"/>
        <v>147.33312000000006</v>
      </c>
    </row>
    <row r="31" spans="2:9" ht="15.75" customHeight="1" x14ac:dyDescent="0.25">
      <c r="B31" s="7" t="s">
        <v>7</v>
      </c>
      <c r="C31" s="7" t="s">
        <v>8</v>
      </c>
      <c r="D31" s="7">
        <v>2040</v>
      </c>
      <c r="E31" s="8">
        <v>96.6768</v>
      </c>
      <c r="F31" s="7" t="str">
        <f t="shared" si="10"/>
        <v>IMP_NAT-GAS</v>
      </c>
      <c r="G31" s="7" t="str">
        <f t="shared" si="11"/>
        <v>NAT-GAS</v>
      </c>
      <c r="I31">
        <f t="shared" si="9"/>
        <v>154.68288000000001</v>
      </c>
    </row>
    <row r="32" spans="2:9" ht="15.75" customHeight="1" x14ac:dyDescent="0.25">
      <c r="B32" s="5" t="s">
        <v>7</v>
      </c>
      <c r="C32" s="5" t="s">
        <v>8</v>
      </c>
      <c r="D32" s="5">
        <v>2045</v>
      </c>
      <c r="E32" s="6">
        <v>103.01280000000003</v>
      </c>
      <c r="F32" s="5" t="str">
        <f t="shared" si="10"/>
        <v>IMP_NAT-GAS</v>
      </c>
      <c r="G32" s="5" t="str">
        <f t="shared" si="11"/>
        <v>NAT-GAS</v>
      </c>
      <c r="I32">
        <f t="shared" si="9"/>
        <v>164.82048000000006</v>
      </c>
    </row>
    <row r="33" spans="2:9" ht="15.75" customHeight="1" x14ac:dyDescent="0.25">
      <c r="B33" s="7" t="s">
        <v>7</v>
      </c>
      <c r="C33" s="7" t="s">
        <v>8</v>
      </c>
      <c r="D33" s="7">
        <v>2050</v>
      </c>
      <c r="E33" s="8">
        <v>108.66240000000001</v>
      </c>
      <c r="F33" s="7" t="str">
        <f t="shared" si="10"/>
        <v>IMP_NAT-GAS</v>
      </c>
      <c r="G33" s="7" t="str">
        <f t="shared" si="11"/>
        <v>NAT-GAS</v>
      </c>
      <c r="I33">
        <f t="shared" si="9"/>
        <v>173.85984000000002</v>
      </c>
    </row>
    <row r="34" spans="2:9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9" ht="15.75" customHeight="1" x14ac:dyDescent="0.25">
      <c r="B35" s="5" t="s">
        <v>7</v>
      </c>
      <c r="C35" s="5" t="s">
        <v>8</v>
      </c>
      <c r="D35" s="5">
        <v>2025</v>
      </c>
      <c r="E35" s="6">
        <v>3.3120000000000003</v>
      </c>
      <c r="F35" s="5" t="s">
        <v>22</v>
      </c>
      <c r="G35" s="5" t="s">
        <v>9</v>
      </c>
      <c r="I35">
        <f>E35*0.9</f>
        <v>2.9808000000000003</v>
      </c>
    </row>
    <row r="36" spans="2:9" ht="15.75" customHeight="1" x14ac:dyDescent="0.25">
      <c r="B36" s="7" t="s">
        <v>7</v>
      </c>
      <c r="C36" s="7" t="s">
        <v>8</v>
      </c>
      <c r="D36" s="7">
        <v>2030</v>
      </c>
      <c r="E36" s="8">
        <v>3.4425000000000003</v>
      </c>
      <c r="F36" s="7" t="str">
        <f>F35</f>
        <v>IMP_URAN</v>
      </c>
      <c r="G36" s="7" t="str">
        <f>G35</f>
        <v>URAN</v>
      </c>
      <c r="I36">
        <f t="shared" ref="I36:I40" si="12">E36*0.9</f>
        <v>3.0982500000000002</v>
      </c>
    </row>
    <row r="37" spans="2:9" ht="15.75" customHeight="1" x14ac:dyDescent="0.25">
      <c r="B37" s="5" t="s">
        <v>7</v>
      </c>
      <c r="C37" s="5" t="s">
        <v>8</v>
      </c>
      <c r="D37" s="5">
        <v>2035</v>
      </c>
      <c r="E37" s="6">
        <v>3.5415000000000001</v>
      </c>
      <c r="F37" s="5" t="str">
        <f t="shared" ref="F37:F40" si="13">F36</f>
        <v>IMP_URAN</v>
      </c>
      <c r="G37" s="5" t="str">
        <f t="shared" ref="G37:G40" si="14">G36</f>
        <v>URAN</v>
      </c>
      <c r="I37">
        <f t="shared" si="12"/>
        <v>3.1873500000000003</v>
      </c>
    </row>
    <row r="38" spans="2:9" ht="15.75" customHeight="1" x14ac:dyDescent="0.25">
      <c r="B38" s="7" t="s">
        <v>7</v>
      </c>
      <c r="C38" s="7" t="s">
        <v>8</v>
      </c>
      <c r="D38" s="7">
        <v>2040</v>
      </c>
      <c r="E38" s="8">
        <v>3.6720000000000002</v>
      </c>
      <c r="F38" s="7" t="str">
        <f t="shared" si="13"/>
        <v>IMP_URAN</v>
      </c>
      <c r="G38" s="7" t="str">
        <f t="shared" si="14"/>
        <v>URAN</v>
      </c>
      <c r="I38">
        <f t="shared" si="12"/>
        <v>3.3048000000000002</v>
      </c>
    </row>
    <row r="39" spans="2:9" ht="15.75" customHeight="1" x14ac:dyDescent="0.25">
      <c r="B39" s="5" t="s">
        <v>7</v>
      </c>
      <c r="C39" s="5" t="s">
        <v>8</v>
      </c>
      <c r="D39" s="5">
        <v>2045</v>
      </c>
      <c r="E39" s="6">
        <v>4.0328999999999997</v>
      </c>
      <c r="F39" s="5" t="str">
        <f t="shared" si="13"/>
        <v>IMP_URAN</v>
      </c>
      <c r="G39" s="5" t="str">
        <f t="shared" si="14"/>
        <v>URAN</v>
      </c>
      <c r="I39">
        <f t="shared" si="12"/>
        <v>3.62961</v>
      </c>
    </row>
    <row r="40" spans="2:9" ht="15.75" customHeight="1" thickBot="1" x14ac:dyDescent="0.3">
      <c r="B40" s="9" t="s">
        <v>7</v>
      </c>
      <c r="C40" s="9" t="s">
        <v>8</v>
      </c>
      <c r="D40" s="9">
        <v>2050</v>
      </c>
      <c r="E40" s="10">
        <v>4.9346999999999994</v>
      </c>
      <c r="F40" s="10" t="str">
        <f t="shared" si="13"/>
        <v>IMP_URAN</v>
      </c>
      <c r="G40" s="10" t="str">
        <f t="shared" si="14"/>
        <v>URAN</v>
      </c>
      <c r="I40">
        <f t="shared" si="12"/>
        <v>4.44123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2025-11-18T08:04:00Z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